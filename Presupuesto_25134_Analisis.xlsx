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álisis Presupuesto 25134" sheetId="1" state="visible" r:id="rId3"/>
    <sheet name="Resumen x Categorí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<sst xmlns="http://schemas.openxmlformats.org/spreadsheetml/2006/main" count="132" uniqueCount="83">
  <si>
    <t xml:space="preserve">Código</t>
  </si>
  <si>
    <t xml:space="preserve">Descripción</t>
  </si>
  <si>
    <t xml:space="preserve">Pack/Caja</t>
  </si>
  <si>
    <t xml:space="preserve">Unid x Pack</t>
  </si>
  <si>
    <t xml:space="preserve">Cant Packs</t>
  </si>
  <si>
    <t xml:space="preserve">Precio Pack</t>
  </si>
  <si>
    <t xml:space="preserve">Total</t>
  </si>
  <si>
    <t xml:space="preserve">Categoría Menú</t>
  </si>
  <si>
    <t xml:space="preserve">Precio Unitario</t>
  </si>
  <si>
    <t xml:space="preserve">Cant Unidades Total</t>
  </si>
  <si>
    <t xml:space="preserve">0368</t>
  </si>
  <si>
    <t xml:space="preserve">Coca Cola Zero x 1,75 lt</t>
  </si>
  <si>
    <t xml:space="preserve">Pack x 8 unid</t>
  </si>
  <si>
    <t xml:space="preserve">Gaseosas</t>
  </si>
  <si>
    <t xml:space="preserve">0300</t>
  </si>
  <si>
    <t xml:space="preserve">Coca Cola Zero x 600 cc</t>
  </si>
  <si>
    <t xml:space="preserve">pack x 6 unid</t>
  </si>
  <si>
    <t xml:space="preserve">0322</t>
  </si>
  <si>
    <t xml:space="preserve">Coca Cola x 1,75 lt</t>
  </si>
  <si>
    <t xml:space="preserve">0321</t>
  </si>
  <si>
    <t xml:space="preserve">Coca Cola x 600 cc</t>
  </si>
  <si>
    <t xml:space="preserve">Pack x 6 unid</t>
  </si>
  <si>
    <t xml:space="preserve">0336</t>
  </si>
  <si>
    <t xml:space="preserve">Fanta x 600 cc</t>
  </si>
  <si>
    <t xml:space="preserve">0365</t>
  </si>
  <si>
    <t xml:space="preserve">Sprite x 1,75 lt</t>
  </si>
  <si>
    <t xml:space="preserve">0335</t>
  </si>
  <si>
    <t xml:space="preserve">Sprite x 600 cc</t>
  </si>
  <si>
    <t xml:space="preserve">0443</t>
  </si>
  <si>
    <t xml:space="preserve">Agua Villamanaos x 2 lt</t>
  </si>
  <si>
    <t xml:space="preserve">Aguas saborizadas y Jugos</t>
  </si>
  <si>
    <t xml:space="preserve">0462</t>
  </si>
  <si>
    <t xml:space="preserve">Agua Villamanaos x 600 cc</t>
  </si>
  <si>
    <t xml:space="preserve">Pack x 12 unid</t>
  </si>
  <si>
    <t xml:space="preserve">0729</t>
  </si>
  <si>
    <t xml:space="preserve">Agua Villavicencio x 2 lt</t>
  </si>
  <si>
    <t xml:space="preserve">0388</t>
  </si>
  <si>
    <t xml:space="preserve">Agua Villavicencio x 500 cc</t>
  </si>
  <si>
    <t xml:space="preserve">0398</t>
  </si>
  <si>
    <t xml:space="preserve">Aquarius Manzana x 500 cc</t>
  </si>
  <si>
    <t xml:space="preserve">0400</t>
  </si>
  <si>
    <t xml:space="preserve">Aquarius Pera x 500 cc</t>
  </si>
  <si>
    <t xml:space="preserve">0399</t>
  </si>
  <si>
    <t xml:space="preserve">Aquarius Pomelo x 500 cc</t>
  </si>
  <si>
    <t xml:space="preserve">0285</t>
  </si>
  <si>
    <t xml:space="preserve">Placer Manzana x 1,5 lt</t>
  </si>
  <si>
    <t xml:space="preserve">0290</t>
  </si>
  <si>
    <t xml:space="preserve">Placer Manzana x 500 ml</t>
  </si>
  <si>
    <t xml:space="preserve">pack x 12 unid</t>
  </si>
  <si>
    <t xml:space="preserve">0287</t>
  </si>
  <si>
    <t xml:space="preserve">Placer Pera x 1,5 lt</t>
  </si>
  <si>
    <t xml:space="preserve">0292</t>
  </si>
  <si>
    <t xml:space="preserve">Placer Pera x 500 ml</t>
  </si>
  <si>
    <t xml:space="preserve">0286</t>
  </si>
  <si>
    <t xml:space="preserve">Placer Pomelo x 1,5 lt</t>
  </si>
  <si>
    <t xml:space="preserve">0291</t>
  </si>
  <si>
    <t xml:space="preserve">Placer Pomelo x 500 ml</t>
  </si>
  <si>
    <t xml:space="preserve">0403</t>
  </si>
  <si>
    <t xml:space="preserve">Power Ade Azul 500 cc</t>
  </si>
  <si>
    <t xml:space="preserve">0401</t>
  </si>
  <si>
    <t xml:space="preserve">Power Ade Manzana 500 cc</t>
  </si>
  <si>
    <t xml:space="preserve">0402</t>
  </si>
  <si>
    <t xml:space="preserve">Power Ade Rojo 500 cc</t>
  </si>
  <si>
    <t xml:space="preserve">0457</t>
  </si>
  <si>
    <t xml:space="preserve">Andes IPA x 473 cc</t>
  </si>
  <si>
    <t xml:space="preserve">Bebidas con Alcohol</t>
  </si>
  <si>
    <t xml:space="preserve">0390</t>
  </si>
  <si>
    <t xml:space="preserve">Andes Rubia x 473 cc</t>
  </si>
  <si>
    <t xml:space="preserve">0280</t>
  </si>
  <si>
    <t xml:space="preserve">Brahma Chopp x 473 cc</t>
  </si>
  <si>
    <t xml:space="preserve">Pack x 24 unid</t>
  </si>
  <si>
    <t xml:space="preserve">0387</t>
  </si>
  <si>
    <t xml:space="preserve">Corona Botella 710 cc</t>
  </si>
  <si>
    <t xml:space="preserve">Caja x 12 unid</t>
  </si>
  <si>
    <t xml:space="preserve">0749</t>
  </si>
  <si>
    <t xml:space="preserve">Heineken lata x 473 cc</t>
  </si>
  <si>
    <t xml:space="preserve">TOTALES</t>
  </si>
  <si>
    <t xml:space="preserve">Categoría</t>
  </si>
  <si>
    <t xml:space="preserve">Cant Items</t>
  </si>
  <si>
    <t xml:space="preserve">Total $</t>
  </si>
  <si>
    <t xml:space="preserve">% del Total</t>
  </si>
  <si>
    <t xml:space="preserve">Unidades Totales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</si>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</sst>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3" t="s">
        <v>12</v>
      </c>
      <c r="D2" s="4" t="n">
        <v>8</v>
      </c>
      <c r="E2" s="4" t="n">
        <v>4</v>
      </c>
      <c r="F2" s="5" t="n">
        <v>24600</v>
      </c>
      <c r="G2" s="5" t="n">
        <v>98400</v>
      </c>
      <c r="H2" s="3" t="s">
        <v>13</v>
      </c>
      <c r="I2" s="5" t="n">
        <f aca="false">F2/D2</f>
        <v>3075</v>
      </c>
      <c r="J2" s="4" t="n">
        <f aca="false">E2*D2</f>
        <v>32</v>
      </c>
    </row>
    <row r="3" customFormat="false" ht="15" hidden="false" customHeight="false" outlineLevel="0" collapsed="false">
      <c r="A3" s="2" t="s">
        <v>14</v>
      </c>
      <c r="B3" s="3" t="s">
        <v>15</v>
      </c>
      <c r="C3" s="3" t="s">
        <v>16</v>
      </c>
      <c r="D3" s="4" t="n">
        <v>6</v>
      </c>
      <c r="E3" s="4" t="n">
        <v>6</v>
      </c>
      <c r="F3" s="5" t="n">
        <v>7700</v>
      </c>
      <c r="G3" s="5" t="n">
        <v>46200.01</v>
      </c>
      <c r="H3" s="3" t="s">
        <v>13</v>
      </c>
      <c r="I3" s="5" t="n">
        <f aca="false">F3/D3</f>
        <v>1283.33333333333</v>
      </c>
      <c r="J3" s="4" t="n">
        <f aca="false">E3*D3</f>
        <v>36</v>
      </c>
    </row>
    <row r="4" customFormat="false" ht="15" hidden="false" customHeight="false" outlineLevel="0" collapsed="false">
      <c r="A4" s="2" t="s">
        <v>17</v>
      </c>
      <c r="B4" s="3" t="s">
        <v>18</v>
      </c>
      <c r="C4" s="3" t="s">
        <v>12</v>
      </c>
      <c r="D4" s="4" t="n">
        <v>8</v>
      </c>
      <c r="E4" s="4" t="n">
        <v>4</v>
      </c>
      <c r="F4" s="5" t="n">
        <v>24600</v>
      </c>
      <c r="G4" s="5" t="n">
        <v>98400</v>
      </c>
      <c r="H4" s="3" t="s">
        <v>13</v>
      </c>
      <c r="I4" s="5" t="n">
        <f aca="false">F4/D4</f>
        <v>3075</v>
      </c>
      <c r="J4" s="4" t="n">
        <f aca="false">E4*D4</f>
        <v>32</v>
      </c>
    </row>
    <row r="5" customFormat="false" ht="15" hidden="false" customHeight="false" outlineLevel="0" collapsed="false">
      <c r="A5" s="2" t="s">
        <v>19</v>
      </c>
      <c r="B5" s="3" t="s">
        <v>20</v>
      </c>
      <c r="C5" s="3" t="s">
        <v>21</v>
      </c>
      <c r="D5" s="4" t="n">
        <v>6</v>
      </c>
      <c r="E5" s="4" t="n">
        <v>6</v>
      </c>
      <c r="F5" s="5" t="n">
        <v>7700</v>
      </c>
      <c r="G5" s="5" t="n">
        <v>46200.01</v>
      </c>
      <c r="H5" s="3" t="s">
        <v>13</v>
      </c>
      <c r="I5" s="5" t="n">
        <f aca="false">F5/D5</f>
        <v>1283.33333333333</v>
      </c>
      <c r="J5" s="4" t="n">
        <f aca="false">E5*D5</f>
        <v>36</v>
      </c>
    </row>
    <row r="6" customFormat="false" ht="15" hidden="false" customHeight="false" outlineLevel="0" collapsed="false">
      <c r="A6" s="2" t="s">
        <v>22</v>
      </c>
      <c r="B6" s="3" t="s">
        <v>23</v>
      </c>
      <c r="C6" s="3" t="s">
        <v>21</v>
      </c>
      <c r="D6" s="4" t="n">
        <v>6</v>
      </c>
      <c r="E6" s="4" t="n">
        <v>4</v>
      </c>
      <c r="F6" s="5" t="n">
        <v>7700</v>
      </c>
      <c r="G6" s="5" t="n">
        <v>30800</v>
      </c>
      <c r="H6" s="3" t="s">
        <v>13</v>
      </c>
      <c r="I6" s="5" t="n">
        <f aca="false">F6/D6</f>
        <v>1283.33333333333</v>
      </c>
      <c r="J6" s="4" t="n">
        <f aca="false">E6*D6</f>
        <v>24</v>
      </c>
    </row>
    <row r="7" customFormat="false" ht="15" hidden="false" customHeight="false" outlineLevel="0" collapsed="false">
      <c r="A7" s="2" t="s">
        <v>24</v>
      </c>
      <c r="B7" s="3" t="s">
        <v>25</v>
      </c>
      <c r="C7" s="3" t="s">
        <v>12</v>
      </c>
      <c r="D7" s="4" t="n">
        <v>8</v>
      </c>
      <c r="E7" s="4" t="n">
        <v>4</v>
      </c>
      <c r="F7" s="5" t="n">
        <v>24600</v>
      </c>
      <c r="G7" s="5" t="n">
        <v>98400</v>
      </c>
      <c r="H7" s="3" t="s">
        <v>13</v>
      </c>
      <c r="I7" s="5" t="n">
        <f aca="false">F7/D7</f>
        <v>3075</v>
      </c>
      <c r="J7" s="4" t="n">
        <f aca="false">E7*D7</f>
        <v>32</v>
      </c>
    </row>
    <row r="8" customFormat="false" ht="15" hidden="false" customHeight="false" outlineLevel="0" collapsed="false">
      <c r="A8" s="2" t="s">
        <v>26</v>
      </c>
      <c r="B8" s="3" t="s">
        <v>27</v>
      </c>
      <c r="C8" s="3" t="s">
        <v>21</v>
      </c>
      <c r="D8" s="4" t="n">
        <v>6</v>
      </c>
      <c r="E8" s="4" t="n">
        <v>6</v>
      </c>
      <c r="F8" s="5" t="n">
        <v>7700</v>
      </c>
      <c r="G8" s="5" t="n">
        <v>46200</v>
      </c>
      <c r="H8" s="3" t="s">
        <v>13</v>
      </c>
      <c r="I8" s="5" t="n">
        <f aca="false">F8/D8</f>
        <v>1283.33333333333</v>
      </c>
      <c r="J8" s="4" t="n">
        <f aca="false">E8*D8</f>
        <v>36</v>
      </c>
    </row>
    <row r="9" customFormat="false" ht="15" hidden="false" customHeight="false" outlineLevel="0" collapsed="false">
      <c r="A9" s="6" t="s">
        <v>28</v>
      </c>
      <c r="B9" s="7" t="s">
        <v>29</v>
      </c>
      <c r="C9" s="7" t="s">
        <v>21</v>
      </c>
      <c r="D9" s="8" t="n">
        <v>6</v>
      </c>
      <c r="E9" s="8" t="n">
        <v>4</v>
      </c>
      <c r="F9" s="9" t="n">
        <v>5000</v>
      </c>
      <c r="G9" s="9" t="n">
        <v>20000</v>
      </c>
      <c r="H9" s="7" t="s">
        <v>30</v>
      </c>
      <c r="I9" s="9" t="n">
        <f aca="false">F9/D9</f>
        <v>833.333333333333</v>
      </c>
      <c r="J9" s="8" t="n">
        <f aca="false">E9*D9</f>
        <v>24</v>
      </c>
    </row>
    <row r="10" customFormat="false" ht="15" hidden="false" customHeight="false" outlineLevel="0" collapsed="false">
      <c r="A10" s="6" t="s">
        <v>31</v>
      </c>
      <c r="B10" s="7" t="s">
        <v>32</v>
      </c>
      <c r="C10" s="7" t="s">
        <v>33</v>
      </c>
      <c r="D10" s="8" t="n">
        <v>12</v>
      </c>
      <c r="E10" s="8" t="n">
        <v>6</v>
      </c>
      <c r="F10" s="9" t="n">
        <v>5500</v>
      </c>
      <c r="G10" s="9" t="n">
        <v>33000</v>
      </c>
      <c r="H10" s="7" t="s">
        <v>30</v>
      </c>
      <c r="I10" s="9" t="n">
        <f aca="false">F10/D10</f>
        <v>458.333333333333</v>
      </c>
      <c r="J10" s="8" t="n">
        <f aca="false">E10*D10</f>
        <v>72</v>
      </c>
    </row>
    <row r="11" customFormat="false" ht="15" hidden="false" customHeight="false" outlineLevel="0" collapsed="false">
      <c r="A11" s="6" t="s">
        <v>34</v>
      </c>
      <c r="B11" s="7" t="s">
        <v>35</v>
      </c>
      <c r="C11" s="7" t="s">
        <v>16</v>
      </c>
      <c r="D11" s="8" t="n">
        <v>6</v>
      </c>
      <c r="E11" s="8" t="n">
        <v>2</v>
      </c>
      <c r="F11" s="9" t="n">
        <v>9400</v>
      </c>
      <c r="G11" s="9" t="n">
        <v>18800.01</v>
      </c>
      <c r="H11" s="7" t="s">
        <v>30</v>
      </c>
      <c r="I11" s="9" t="n">
        <f aca="false">F11/D11</f>
        <v>1566.66666666667</v>
      </c>
      <c r="J11" s="8" t="n">
        <f aca="false">E11*D11</f>
        <v>12</v>
      </c>
    </row>
    <row r="12" customFormat="false" ht="15" hidden="false" customHeight="false" outlineLevel="0" collapsed="false">
      <c r="A12" s="6" t="s">
        <v>36</v>
      </c>
      <c r="B12" s="7" t="s">
        <v>37</v>
      </c>
      <c r="C12" s="7" t="s">
        <v>33</v>
      </c>
      <c r="D12" s="8" t="n">
        <v>12</v>
      </c>
      <c r="E12" s="8" t="n">
        <v>4</v>
      </c>
      <c r="F12" s="9" t="n">
        <v>8600</v>
      </c>
      <c r="G12" s="9" t="n">
        <v>34400</v>
      </c>
      <c r="H12" s="7" t="s">
        <v>30</v>
      </c>
      <c r="I12" s="9" t="n">
        <f aca="false">F12/D12</f>
        <v>716.666666666667</v>
      </c>
      <c r="J12" s="8" t="n">
        <f aca="false">E12*D12</f>
        <v>48</v>
      </c>
    </row>
    <row r="13" customFormat="false" ht="15" hidden="false" customHeight="false" outlineLevel="0" collapsed="false">
      <c r="A13" s="6" t="s">
        <v>38</v>
      </c>
      <c r="B13" s="7" t="s">
        <v>39</v>
      </c>
      <c r="C13" s="7" t="s">
        <v>21</v>
      </c>
      <c r="D13" s="8" t="n">
        <v>6</v>
      </c>
      <c r="E13" s="8" t="n">
        <v>4</v>
      </c>
      <c r="F13" s="9" t="n">
        <v>6600</v>
      </c>
      <c r="G13" s="9" t="n">
        <v>26400</v>
      </c>
      <c r="H13" s="7" t="s">
        <v>30</v>
      </c>
      <c r="I13" s="9" t="n">
        <f aca="false">F13/D13</f>
        <v>1100</v>
      </c>
      <c r="J13" s="8" t="n">
        <f aca="false">E13*D13</f>
        <v>24</v>
      </c>
    </row>
    <row r="14" customFormat="false" ht="15" hidden="false" customHeight="false" outlineLevel="0" collapsed="false">
      <c r="A14" s="6" t="s">
        <v>40</v>
      </c>
      <c r="B14" s="7" t="s">
        <v>41</v>
      </c>
      <c r="C14" s="7" t="s">
        <v>21</v>
      </c>
      <c r="D14" s="8" t="n">
        <v>6</v>
      </c>
      <c r="E14" s="8" t="n">
        <v>4</v>
      </c>
      <c r="F14" s="9" t="n">
        <v>6600</v>
      </c>
      <c r="G14" s="9" t="n">
        <v>26400</v>
      </c>
      <c r="H14" s="7" t="s">
        <v>30</v>
      </c>
      <c r="I14" s="9" t="n">
        <f aca="false">F14/D14</f>
        <v>1100</v>
      </c>
      <c r="J14" s="8" t="n">
        <f aca="false">E14*D14</f>
        <v>24</v>
      </c>
    </row>
    <row r="15" customFormat="false" ht="15" hidden="false" customHeight="false" outlineLevel="0" collapsed="false">
      <c r="A15" s="6" t="s">
        <v>42</v>
      </c>
      <c r="B15" s="7" t="s">
        <v>43</v>
      </c>
      <c r="C15" s="7" t="s">
        <v>21</v>
      </c>
      <c r="D15" s="8" t="n">
        <v>6</v>
      </c>
      <c r="E15" s="8" t="n">
        <v>4</v>
      </c>
      <c r="F15" s="9" t="n">
        <v>6600</v>
      </c>
      <c r="G15" s="9" t="n">
        <v>26400</v>
      </c>
      <c r="H15" s="7" t="s">
        <v>30</v>
      </c>
      <c r="I15" s="9" t="n">
        <f aca="false">F15/D15</f>
        <v>1100</v>
      </c>
      <c r="J15" s="8" t="n">
        <f aca="false">E15*D15</f>
        <v>24</v>
      </c>
    </row>
    <row r="16" customFormat="false" ht="15" hidden="false" customHeight="false" outlineLevel="0" collapsed="false">
      <c r="A16" s="6" t="s">
        <v>44</v>
      </c>
      <c r="B16" s="7" t="s">
        <v>45</v>
      </c>
      <c r="C16" s="7" t="s">
        <v>16</v>
      </c>
      <c r="D16" s="8" t="n">
        <v>6</v>
      </c>
      <c r="E16" s="8" t="n">
        <v>6</v>
      </c>
      <c r="F16" s="9" t="n">
        <v>5000</v>
      </c>
      <c r="G16" s="9" t="n">
        <v>30000</v>
      </c>
      <c r="H16" s="7" t="s">
        <v>30</v>
      </c>
      <c r="I16" s="9" t="n">
        <f aca="false">F16/D16</f>
        <v>833.333333333333</v>
      </c>
      <c r="J16" s="8" t="n">
        <f aca="false">E16*D16</f>
        <v>36</v>
      </c>
    </row>
    <row r="17" customFormat="false" ht="15" hidden="false" customHeight="false" outlineLevel="0" collapsed="false">
      <c r="A17" s="6" t="s">
        <v>46</v>
      </c>
      <c r="B17" s="7" t="s">
        <v>47</v>
      </c>
      <c r="C17" s="7" t="s">
        <v>48</v>
      </c>
      <c r="D17" s="8" t="n">
        <v>12</v>
      </c>
      <c r="E17" s="8" t="n">
        <v>3</v>
      </c>
      <c r="F17" s="9" t="n">
        <v>5500</v>
      </c>
      <c r="G17" s="9" t="n">
        <v>16499.99</v>
      </c>
      <c r="H17" s="7" t="s">
        <v>30</v>
      </c>
      <c r="I17" s="9" t="n">
        <f aca="false">F17/D17</f>
        <v>458.333333333333</v>
      </c>
      <c r="J17" s="8" t="n">
        <f aca="false">E17*D17</f>
        <v>36</v>
      </c>
    </row>
    <row r="18" customFormat="false" ht="15" hidden="false" customHeight="false" outlineLevel="0" collapsed="false">
      <c r="A18" s="6" t="s">
        <v>49</v>
      </c>
      <c r="B18" s="7" t="s">
        <v>50</v>
      </c>
      <c r="C18" s="7" t="s">
        <v>16</v>
      </c>
      <c r="D18" s="8" t="n">
        <v>6</v>
      </c>
      <c r="E18" s="8" t="n">
        <v>1</v>
      </c>
      <c r="F18" s="9" t="n">
        <v>5000</v>
      </c>
      <c r="G18" s="9" t="n">
        <v>5000</v>
      </c>
      <c r="H18" s="7" t="s">
        <v>30</v>
      </c>
      <c r="I18" s="9" t="n">
        <f aca="false">F18/D18</f>
        <v>833.333333333333</v>
      </c>
      <c r="J18" s="8" t="n">
        <f aca="false">E18*D18</f>
        <v>6</v>
      </c>
    </row>
    <row r="19" customFormat="false" ht="15" hidden="false" customHeight="false" outlineLevel="0" collapsed="false">
      <c r="A19" s="6" t="s">
        <v>51</v>
      </c>
      <c r="B19" s="7" t="s">
        <v>52</v>
      </c>
      <c r="C19" s="7" t="s">
        <v>48</v>
      </c>
      <c r="D19" s="8" t="n">
        <v>12</v>
      </c>
      <c r="E19" s="8" t="n">
        <v>4</v>
      </c>
      <c r="F19" s="9" t="n">
        <v>5500</v>
      </c>
      <c r="G19" s="9" t="n">
        <v>21999.99</v>
      </c>
      <c r="H19" s="7" t="s">
        <v>30</v>
      </c>
      <c r="I19" s="9" t="n">
        <f aca="false">F19/D19</f>
        <v>458.333333333333</v>
      </c>
      <c r="J19" s="8" t="n">
        <f aca="false">E19*D19</f>
        <v>48</v>
      </c>
    </row>
    <row r="20" customFormat="false" ht="15" hidden="false" customHeight="false" outlineLevel="0" collapsed="false">
      <c r="A20" s="6" t="s">
        <v>53</v>
      </c>
      <c r="B20" s="7" t="s">
        <v>54</v>
      </c>
      <c r="C20" s="7" t="s">
        <v>16</v>
      </c>
      <c r="D20" s="8" t="n">
        <v>6</v>
      </c>
      <c r="E20" s="8" t="n">
        <v>6</v>
      </c>
      <c r="F20" s="9" t="n">
        <v>5000</v>
      </c>
      <c r="G20" s="9" t="n">
        <v>30000</v>
      </c>
      <c r="H20" s="7" t="s">
        <v>30</v>
      </c>
      <c r="I20" s="9" t="n">
        <f aca="false">F20/D20</f>
        <v>833.333333333333</v>
      </c>
      <c r="J20" s="8" t="n">
        <f aca="false">E20*D20</f>
        <v>36</v>
      </c>
    </row>
    <row r="21" customFormat="false" ht="15" hidden="false" customHeight="false" outlineLevel="0" collapsed="false">
      <c r="A21" s="6" t="s">
        <v>55</v>
      </c>
      <c r="B21" s="7" t="s">
        <v>56</v>
      </c>
      <c r="C21" s="7" t="s">
        <v>48</v>
      </c>
      <c r="D21" s="8" t="n">
        <v>12</v>
      </c>
      <c r="E21" s="8" t="n">
        <v>4</v>
      </c>
      <c r="F21" s="9" t="n">
        <v>5500</v>
      </c>
      <c r="G21" s="9" t="n">
        <v>22000</v>
      </c>
      <c r="H21" s="7" t="s">
        <v>30</v>
      </c>
      <c r="I21" s="9" t="n">
        <f aca="false">F21/D21</f>
        <v>458.333333333333</v>
      </c>
      <c r="J21" s="8" t="n">
        <f aca="false">E21*D21</f>
        <v>48</v>
      </c>
    </row>
    <row r="22" customFormat="false" ht="15" hidden="false" customHeight="false" outlineLevel="0" collapsed="false">
      <c r="A22" s="6" t="s">
        <v>57</v>
      </c>
      <c r="B22" s="7" t="s">
        <v>58</v>
      </c>
      <c r="C22" s="7" t="s">
        <v>21</v>
      </c>
      <c r="D22" s="8" t="n">
        <v>6</v>
      </c>
      <c r="E22" s="8" t="n">
        <v>4</v>
      </c>
      <c r="F22" s="9" t="n">
        <v>7500</v>
      </c>
      <c r="G22" s="9" t="n">
        <v>29999.99</v>
      </c>
      <c r="H22" s="7" t="s">
        <v>30</v>
      </c>
      <c r="I22" s="9" t="n">
        <f aca="false">F22/D22</f>
        <v>1250</v>
      </c>
      <c r="J22" s="8" t="n">
        <f aca="false">E22*D22</f>
        <v>24</v>
      </c>
    </row>
    <row r="23" customFormat="false" ht="15" hidden="false" customHeight="false" outlineLevel="0" collapsed="false">
      <c r="A23" s="6" t="s">
        <v>59</v>
      </c>
      <c r="B23" s="7" t="s">
        <v>60</v>
      </c>
      <c r="C23" s="7" t="s">
        <v>21</v>
      </c>
      <c r="D23" s="8" t="n">
        <v>6</v>
      </c>
      <c r="E23" s="8" t="n">
        <v>4</v>
      </c>
      <c r="F23" s="9" t="n">
        <v>7500</v>
      </c>
      <c r="G23" s="9" t="n">
        <v>30000</v>
      </c>
      <c r="H23" s="7" t="s">
        <v>30</v>
      </c>
      <c r="I23" s="9" t="n">
        <f aca="false">F23/D23</f>
        <v>1250</v>
      </c>
      <c r="J23" s="8" t="n">
        <f aca="false">E23*D23</f>
        <v>24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7" t="s">
        <v>21</v>
      </c>
      <c r="D24" s="8" t="n">
        <v>6</v>
      </c>
      <c r="E24" s="8" t="n">
        <v>4</v>
      </c>
      <c r="F24" s="9" t="n">
        <v>7500</v>
      </c>
      <c r="G24" s="9" t="n">
        <v>29999.99</v>
      </c>
      <c r="H24" s="7" t="s">
        <v>30</v>
      </c>
      <c r="I24" s="9" t="n">
        <f aca="false">F24/D24</f>
        <v>1250</v>
      </c>
      <c r="J24" s="8" t="n">
        <f aca="false">E24*D24</f>
        <v>24</v>
      </c>
    </row>
    <row r="25" customFormat="false" ht="15" hidden="false" customHeight="false" outlineLevel="0" collapsed="false">
      <c r="A25" s="10" t="s">
        <v>63</v>
      </c>
      <c r="B25" s="11" t="s">
        <v>64</v>
      </c>
      <c r="C25" s="11" t="s">
        <v>21</v>
      </c>
      <c r="D25" s="12" t="n">
        <v>6</v>
      </c>
      <c r="E25" s="12" t="n">
        <v>2</v>
      </c>
      <c r="F25" s="13" t="n">
        <v>12700</v>
      </c>
      <c r="G25" s="13" t="n">
        <v>25400</v>
      </c>
      <c r="H25" s="11" t="s">
        <v>65</v>
      </c>
      <c r="I25" s="13" t="n">
        <f aca="false">F25/D25</f>
        <v>2116.66666666667</v>
      </c>
      <c r="J25" s="12" t="n">
        <f aca="false">E25*D25</f>
        <v>12</v>
      </c>
    </row>
    <row r="26" customFormat="false" ht="15" hidden="false" customHeight="false" outlineLevel="0" collapsed="false">
      <c r="A26" s="10" t="s">
        <v>66</v>
      </c>
      <c r="B26" s="11" t="s">
        <v>67</v>
      </c>
      <c r="C26" s="11" t="s">
        <v>16</v>
      </c>
      <c r="D26" s="12" t="n">
        <v>6</v>
      </c>
      <c r="E26" s="12" t="n">
        <v>4</v>
      </c>
      <c r="F26" s="13" t="n">
        <v>11500</v>
      </c>
      <c r="G26" s="13" t="n">
        <v>46000</v>
      </c>
      <c r="H26" s="11" t="s">
        <v>65</v>
      </c>
      <c r="I26" s="13" t="n">
        <f aca="false">F26/D26</f>
        <v>1916.66666666667</v>
      </c>
      <c r="J26" s="12" t="n">
        <f aca="false">E26*D26</f>
        <v>24</v>
      </c>
    </row>
    <row r="27" customFormat="false" ht="15" hidden="false" customHeight="false" outlineLevel="0" collapsed="false">
      <c r="A27" s="10" t="s">
        <v>68</v>
      </c>
      <c r="B27" s="11" t="s">
        <v>69</v>
      </c>
      <c r="C27" s="11" t="s">
        <v>70</v>
      </c>
      <c r="D27" s="12" t="n">
        <v>24</v>
      </c>
      <c r="E27" s="12" t="n">
        <v>4</v>
      </c>
      <c r="F27" s="13" t="n">
        <v>40000</v>
      </c>
      <c r="G27" s="13" t="n">
        <v>160000.02</v>
      </c>
      <c r="H27" s="11" t="s">
        <v>65</v>
      </c>
      <c r="I27" s="13" t="n">
        <f aca="false">F27/D27</f>
        <v>1666.66666666667</v>
      </c>
      <c r="J27" s="12" t="n">
        <f aca="false">E27*D27</f>
        <v>96</v>
      </c>
    </row>
    <row r="28" customFormat="false" ht="15" hidden="false" customHeight="false" outlineLevel="0" collapsed="false">
      <c r="A28" s="10" t="s">
        <v>71</v>
      </c>
      <c r="B28" s="11" t="s">
        <v>72</v>
      </c>
      <c r="C28" s="11" t="s">
        <v>73</v>
      </c>
      <c r="D28" s="12" t="n">
        <v>12</v>
      </c>
      <c r="E28" s="12" t="n">
        <v>2</v>
      </c>
      <c r="F28" s="13" t="n">
        <v>45600</v>
      </c>
      <c r="G28" s="13" t="n">
        <v>91200</v>
      </c>
      <c r="H28" s="11" t="s">
        <v>65</v>
      </c>
      <c r="I28" s="13" t="n">
        <f aca="false">F28/D28</f>
        <v>3800</v>
      </c>
      <c r="J28" s="12" t="n">
        <f aca="false">E28*D28</f>
        <v>24</v>
      </c>
    </row>
    <row r="29" customFormat="false" ht="15" hidden="false" customHeight="false" outlineLevel="0" collapsed="false">
      <c r="A29" s="10" t="s">
        <v>74</v>
      </c>
      <c r="B29" s="11" t="s">
        <v>75</v>
      </c>
      <c r="C29" s="11" t="s">
        <v>48</v>
      </c>
      <c r="D29" s="12" t="n">
        <v>12</v>
      </c>
      <c r="E29" s="12" t="n">
        <v>3</v>
      </c>
      <c r="F29" s="13" t="n">
        <v>28000</v>
      </c>
      <c r="G29" s="13" t="n">
        <v>84000</v>
      </c>
      <c r="H29" s="11" t="s">
        <v>65</v>
      </c>
      <c r="I29" s="13" t="n">
        <f aca="false">F29/D29</f>
        <v>2333.33333333333</v>
      </c>
      <c r="J29" s="12" t="n">
        <f aca="false">E29*D29</f>
        <v>36</v>
      </c>
    </row>
    <row r="30" customFormat="false" ht="15" hidden="false" customHeight="false" outlineLevel="0" collapsed="false">
      <c r="A30" s="14" t="s">
        <v>76</v>
      </c>
      <c r="B30" s="14"/>
      <c r="C30" s="14"/>
      <c r="D30" s="14"/>
      <c r="E30" s="15" t="n">
        <f aca="false">SUM(E2:E29)</f>
        <v>113</v>
      </c>
      <c r="F30" s="14"/>
      <c r="G30" s="16" t="n">
        <f aca="false">SUM(G2:G29)</f>
        <v>1272100.01</v>
      </c>
      <c r="H30" s="14"/>
      <c r="I30" s="14"/>
      <c r="J30" s="15" t="n">
        <f aca="false">SUM(J2:J29)</f>
        <v>930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7" t="s">
        <v>77</v>
      </c>
      <c r="B1" s="17" t="s">
        <v>78</v>
      </c>
      <c r="C1" s="17" t="s">
        <v>79</v>
      </c>
      <c r="D1" s="17" t="s">
        <v>80</v>
      </c>
      <c r="E1" s="17" t="s">
        <v>81</v>
      </c>
    </row>
    <row r="2" customFormat="false" ht="15" hidden="false" customHeight="false" outlineLevel="0" collapsed="false">
      <c r="A2" s="3" t="s">
        <v>13</v>
      </c>
      <c r="B2" s="4" t="n">
        <f aca="false">COUNTIF('Análisis Presupuesto 25134'!H:H,A2)</f>
        <v>7</v>
      </c>
      <c r="C2" s="5" t="n">
        <f aca="false">SUMIF('Análisis Presupuesto 25134'!H:H,A2,'Análisis Presupuesto 25134'!G:G)</f>
        <v>464600.02</v>
      </c>
      <c r="D2" s="18" t="n">
        <f aca="false">IF(C$5=0,0,C2/C$5)</f>
        <v>0.365222872689074</v>
      </c>
      <c r="E2" s="4" t="n">
        <f aca="false">SUMIF('Análisis Presupuesto 25134'!H:H,A2,'Análisis Presupuesto 25134'!J:J)</f>
        <v>228</v>
      </c>
    </row>
    <row r="3" customFormat="false" ht="15" hidden="false" customHeight="false" outlineLevel="0" collapsed="false">
      <c r="A3" s="7" t="s">
        <v>30</v>
      </c>
      <c r="B3" s="8" t="n">
        <f aca="false">COUNTIF('Análisis Presupuesto 25134'!H:H,A3)</f>
        <v>16</v>
      </c>
      <c r="C3" s="9" t="n">
        <f aca="false">SUMIF('Análisis Presupuesto 25134'!H:H,A3,'Análisis Presupuesto 25134'!G:G)</f>
        <v>400899.97</v>
      </c>
      <c r="D3" s="19" t="n">
        <f aca="false">IF(C$5=0,0,C3/C$5)</f>
        <v>0.315148154114078</v>
      </c>
      <c r="E3" s="8" t="n">
        <f aca="false">SUMIF('Análisis Presupuesto 25134'!H:H,A3,'Análisis Presupuesto 25134'!J:J)</f>
        <v>510</v>
      </c>
    </row>
    <row r="4" customFormat="false" ht="15" hidden="false" customHeight="false" outlineLevel="0" collapsed="false">
      <c r="A4" s="11" t="s">
        <v>65</v>
      </c>
      <c r="B4" s="12" t="n">
        <f aca="false">COUNTIF('Análisis Presupuesto 25134'!H:H,A4)</f>
        <v>5</v>
      </c>
      <c r="C4" s="13" t="n">
        <f aca="false">SUMIF('Análisis Presupuesto 25134'!H:H,A4,'Análisis Presupuesto 25134'!G:G)</f>
        <v>406600.02</v>
      </c>
      <c r="D4" s="20" t="n">
        <f aca="false">IF(C$5=0,0,C4/C$5)</f>
        <v>0.319628973196848</v>
      </c>
      <c r="E4" s="12" t="n">
        <f aca="false">SUMIF('Análisis Presupuesto 25134'!H:H,A4,'Análisis Presupuesto 25134'!J:J)</f>
        <v>192</v>
      </c>
    </row>
    <row r="5" customFormat="false" ht="15" hidden="false" customHeight="false" outlineLevel="0" collapsed="false">
      <c r="A5" s="14" t="s">
        <v>82</v>
      </c>
      <c r="B5" s="15" t="n">
        <f aca="false">SUM(B2:B4)</f>
        <v>28</v>
      </c>
      <c r="C5" s="16" t="n">
        <f aca="false">SUM(C2:C4)</f>
        <v>1272100.01</v>
      </c>
      <c r="D5" s="21" t="n">
        <f aca="false">SUM(D2:D4)</f>
        <v>1</v>
      </c>
      <c r="E5" s="15" t="n">
        <f aca="false">SUM(E2:E4)</f>
        <v>930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2026-03-04T02:42:58Z</dcterms:created>
  <dc:creator>openpyxl</dc:creator>
  <dc:description/>
  <dc:language>en-US</dc:language>
  <cp:lastModifiedBy/>
  <dcterms:modified xsi:type="dcterms:W3CDTF">2026-03-04T02:42:58Z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